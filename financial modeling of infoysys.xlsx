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ze\Downloads\"/>
    </mc:Choice>
  </mc:AlternateContent>
  <xr:revisionPtr revIDLastSave="0" documentId="8_{56C406FD-2B0D-4732-A45B-EE8F258FC655}" xr6:coauthVersionLast="47" xr6:coauthVersionMax="47" xr10:uidLastSave="{00000000-0000-0000-0000-000000000000}"/>
  <bookViews>
    <workbookView xWindow="-110" yWindow="-110" windowWidth="19420" windowHeight="10300" xr2:uid="{3ED61C7C-00D4-40D9-B413-D062C28E448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2" l="1"/>
  <c r="H50" i="2" a="1"/>
  <c r="H50" i="2" s="1"/>
  <c r="F13" i="2"/>
  <c r="H51" i="2" l="1"/>
  <c r="D50" i="2" s="1"/>
  <c r="G13" i="2"/>
  <c r="H13" i="2" l="1"/>
  <c r="I13" i="2" l="1"/>
  <c r="F23" i="2"/>
  <c r="F15" i="2" s="1"/>
  <c r="V22" i="2"/>
  <c r="W22" i="2"/>
  <c r="X22" i="2"/>
  <c r="U22" i="2"/>
  <c r="J60" i="2"/>
  <c r="F60" i="2"/>
  <c r="F62" i="2" s="1"/>
  <c r="G60" i="2"/>
  <c r="G62" i="2" s="1"/>
  <c r="H60" i="2"/>
  <c r="H62" i="2" s="1"/>
  <c r="I60" i="2"/>
  <c r="I62" i="2" s="1"/>
  <c r="E60" i="2"/>
  <c r="E62" i="2" s="1"/>
  <c r="E16" i="2"/>
  <c r="E17" i="2" s="1"/>
  <c r="F61" i="2" l="1"/>
  <c r="G23" i="2"/>
  <c r="H23" i="2" s="1"/>
  <c r="I23" i="2" s="1"/>
  <c r="J23" i="2" s="1"/>
  <c r="K23" i="2" s="1"/>
  <c r="L23" i="2" s="1"/>
  <c r="M23" i="2" s="1"/>
  <c r="N23" i="2" s="1"/>
  <c r="O23" i="2" s="1"/>
  <c r="F19" i="2"/>
  <c r="J13" i="2"/>
  <c r="G14" i="2"/>
  <c r="F14" i="2"/>
  <c r="F16" i="2" s="1"/>
  <c r="I61" i="2"/>
  <c r="J61" i="2"/>
  <c r="E22" i="2" s="1"/>
  <c r="H61" i="2"/>
  <c r="G61" i="2"/>
  <c r="J62" i="2"/>
  <c r="J64" i="2" s="1"/>
  <c r="E18" i="2"/>
  <c r="E20" i="2" s="1"/>
  <c r="E24" i="2" s="1"/>
  <c r="G15" i="2" l="1"/>
  <c r="G19" i="2" s="1"/>
  <c r="K13" i="2"/>
  <c r="O60" i="2"/>
  <c r="F17" i="2"/>
  <c r="F18" i="2" s="1"/>
  <c r="F20" i="2" s="1"/>
  <c r="G16" i="2"/>
  <c r="K60" i="2"/>
  <c r="K61" i="2" s="1"/>
  <c r="F22" i="2" s="1"/>
  <c r="L60" i="2"/>
  <c r="M60" i="2"/>
  <c r="H15" i="2"/>
  <c r="N60" i="2"/>
  <c r="H14" i="2"/>
  <c r="F24" i="2" l="1"/>
  <c r="L61" i="2"/>
  <c r="G22" i="2" s="1"/>
  <c r="M61" i="2"/>
  <c r="H22" i="2" s="1"/>
  <c r="H16" i="2"/>
  <c r="H17" i="2" s="1"/>
  <c r="H18" i="2" s="1"/>
  <c r="N61" i="2"/>
  <c r="I22" i="2" s="1"/>
  <c r="O61" i="2"/>
  <c r="J22" i="2" s="1"/>
  <c r="I15" i="2"/>
  <c r="H19" i="2"/>
  <c r="G17" i="2"/>
  <c r="G18" i="2" s="1"/>
  <c r="G20" i="2" s="1"/>
  <c r="L13" i="2"/>
  <c r="P60" i="2"/>
  <c r="P61" i="2" s="1"/>
  <c r="K22" i="2" s="1"/>
  <c r="I14" i="2"/>
  <c r="AD22" i="2"/>
  <c r="AD17" i="2"/>
  <c r="AD19" i="2" s="1"/>
  <c r="AD16" i="2"/>
  <c r="G24" i="2" l="1"/>
  <c r="AD24" i="2"/>
  <c r="AD25" i="2"/>
  <c r="I16" i="2"/>
  <c r="I17" i="2" s="1"/>
  <c r="I18" i="2" s="1"/>
  <c r="H20" i="2"/>
  <c r="H24" i="2" s="1"/>
  <c r="M13" i="2"/>
  <c r="Q60" i="2"/>
  <c r="Q61" i="2" s="1"/>
  <c r="L22" i="2" s="1"/>
  <c r="J15" i="2"/>
  <c r="I19" i="2"/>
  <c r="J14" i="2"/>
  <c r="AD28" i="2" l="1"/>
  <c r="E7" i="2" s="1"/>
  <c r="K25" i="2" s="1"/>
  <c r="J16" i="2"/>
  <c r="J17" i="2" s="1"/>
  <c r="J18" i="2" s="1"/>
  <c r="I20" i="2"/>
  <c r="I24" i="2" s="1"/>
  <c r="N13" i="2"/>
  <c r="R60" i="2"/>
  <c r="R61" i="2" s="1"/>
  <c r="M22" i="2" s="1"/>
  <c r="K15" i="2"/>
  <c r="J19" i="2"/>
  <c r="K14" i="2"/>
  <c r="I25" i="2" l="1"/>
  <c r="M25" i="2"/>
  <c r="G25" i="2"/>
  <c r="G27" i="2" s="1"/>
  <c r="I27" i="2"/>
  <c r="H25" i="2"/>
  <c r="H27" i="2" s="1"/>
  <c r="N25" i="2"/>
  <c r="F25" i="2"/>
  <c r="F27" i="2" s="1"/>
  <c r="O25" i="2"/>
  <c r="J25" i="2"/>
  <c r="L25" i="2"/>
  <c r="J20" i="2"/>
  <c r="J24" i="2" s="1"/>
  <c r="K16" i="2"/>
  <c r="K17" i="2" s="1"/>
  <c r="K18" i="2" s="1"/>
  <c r="L15" i="2"/>
  <c r="K19" i="2"/>
  <c r="O13" i="2"/>
  <c r="T60" i="2" s="1"/>
  <c r="S60" i="2"/>
  <c r="S61" i="2" s="1"/>
  <c r="N22" i="2" s="1"/>
  <c r="L14" i="2"/>
  <c r="J27" i="2" l="1"/>
  <c r="L16" i="2"/>
  <c r="L17" i="2" s="1"/>
  <c r="L18" i="2" s="1"/>
  <c r="K20" i="2"/>
  <c r="K24" i="2" s="1"/>
  <c r="K27" i="2" s="1"/>
  <c r="T61" i="2"/>
  <c r="O22" i="2" s="1"/>
  <c r="M15" i="2"/>
  <c r="L19" i="2"/>
  <c r="M14" i="2"/>
  <c r="L20" i="2" l="1"/>
  <c r="L24" i="2" s="1"/>
  <c r="L27" i="2" s="1"/>
  <c r="N15" i="2"/>
  <c r="M19" i="2"/>
  <c r="M16" i="2"/>
  <c r="O14" i="2"/>
  <c r="N14" i="2"/>
  <c r="N16" i="2" s="1"/>
  <c r="M17" i="2" l="1"/>
  <c r="M18" i="2" s="1"/>
  <c r="M20" i="2" s="1"/>
  <c r="M24" i="2" s="1"/>
  <c r="M27" i="2" s="1"/>
  <c r="N17" i="2"/>
  <c r="N18" i="2" s="1"/>
  <c r="O15" i="2"/>
  <c r="O19" i="2" s="1"/>
  <c r="N19" i="2"/>
  <c r="N20" i="2" l="1"/>
  <c r="N24" i="2" s="1"/>
  <c r="N27" i="2" s="1"/>
  <c r="O16" i="2"/>
  <c r="O17" i="2" s="1"/>
  <c r="O18" i="2" s="1"/>
  <c r="O20" i="2" s="1"/>
  <c r="O24" i="2" s="1"/>
  <c r="O27" i="2" l="1"/>
  <c r="D31" i="2" s="1"/>
  <c r="D35" i="2"/>
  <c r="D36" i="2" s="1"/>
  <c r="D37" i="2" s="1"/>
  <c r="D40" i="2" l="1"/>
  <c r="D43" i="2" s="1"/>
  <c r="D49" i="2" s="1"/>
  <c r="D51" i="2" s="1"/>
  <c r="D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<sst xmlns="http://schemas.openxmlformats.org/spreadsheetml/2006/main" count="78" uniqueCount="76">
  <si>
    <t>ERP</t>
  </si>
  <si>
    <t>Beta</t>
  </si>
  <si>
    <t>calculation of weighted average cost of capital</t>
  </si>
  <si>
    <t>calculation of cost of equity (ke)</t>
  </si>
  <si>
    <t>Risk Free Rate</t>
  </si>
  <si>
    <t>cost of debt (pre-tax)</t>
  </si>
  <si>
    <t>tax Rate (marginal tax rate)</t>
  </si>
  <si>
    <r>
      <t>cost of debt (post tax) k</t>
    </r>
    <r>
      <rPr>
        <vertAlign val="subscript"/>
        <sz val="11"/>
        <color theme="1"/>
        <rFont val="Calibri"/>
        <family val="2"/>
        <scheme val="minor"/>
      </rPr>
      <t>d</t>
    </r>
  </si>
  <si>
    <r>
      <t>cost of equity (k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</t>
    </r>
  </si>
  <si>
    <t>Total market value of equity</t>
  </si>
  <si>
    <t>Total market value of debt</t>
  </si>
  <si>
    <t>Total market value of capital</t>
  </si>
  <si>
    <t>Equity/Total capital</t>
  </si>
  <si>
    <t>debt/Total capital</t>
  </si>
  <si>
    <t>Discount Rate (wAcc)</t>
  </si>
  <si>
    <t>Period (t)</t>
  </si>
  <si>
    <t>Explicit Forecast Period</t>
  </si>
  <si>
    <t>Year</t>
  </si>
  <si>
    <t>Growth</t>
  </si>
  <si>
    <t>Revenue</t>
  </si>
  <si>
    <t>EBITDA</t>
  </si>
  <si>
    <t>less:Depreciation &amp; Amortisation</t>
  </si>
  <si>
    <t>EBIT</t>
  </si>
  <si>
    <t>Add:Deperation &amp; Amortisation</t>
  </si>
  <si>
    <t>less: Tax</t>
  </si>
  <si>
    <t>EBIT:(1-Tax)</t>
  </si>
  <si>
    <t>cash NOPAT</t>
  </si>
  <si>
    <t>Less:Reinvestment</t>
  </si>
  <si>
    <t>Change in Working capital</t>
  </si>
  <si>
    <t>Capex</t>
  </si>
  <si>
    <t xml:space="preserve">          Actul</t>
  </si>
  <si>
    <t>Free cash flow from firm</t>
  </si>
  <si>
    <t>Discount rate</t>
  </si>
  <si>
    <t>pv of cash flow</t>
  </si>
  <si>
    <t>last 5 yrs capex</t>
  </si>
  <si>
    <t>change in working capital calculation</t>
  </si>
  <si>
    <t>Debtor</t>
  </si>
  <si>
    <t>Payble</t>
  </si>
  <si>
    <t>other(-)</t>
  </si>
  <si>
    <t>working capital</t>
  </si>
  <si>
    <t>change in working capital</t>
  </si>
  <si>
    <t>working capital % sales</t>
  </si>
  <si>
    <t>key assumption</t>
  </si>
  <si>
    <t>years</t>
  </si>
  <si>
    <t>1 to 5</t>
  </si>
  <si>
    <t>6 to 10</t>
  </si>
  <si>
    <t>fcf growth rate</t>
  </si>
  <si>
    <t>discount rate</t>
  </si>
  <si>
    <t>present value of FCFF</t>
  </si>
  <si>
    <t>Terminal value</t>
  </si>
  <si>
    <t>Terminal growth rate</t>
  </si>
  <si>
    <t>10 year fcff*(1+g)</t>
  </si>
  <si>
    <t xml:space="preserve"> terminal value</t>
  </si>
  <si>
    <t>pv of terminal value</t>
  </si>
  <si>
    <t>Enterprise value stage( 1+2)</t>
  </si>
  <si>
    <t xml:space="preserve"> =F1/(wacc-g)</t>
  </si>
  <si>
    <t>enterprise value</t>
  </si>
  <si>
    <t>add:cash</t>
  </si>
  <si>
    <t>add:other non operating assets</t>
  </si>
  <si>
    <t>less:debt</t>
  </si>
  <si>
    <t>less:minority interest</t>
  </si>
  <si>
    <t>DCF value (equity value)</t>
  </si>
  <si>
    <t>no of shares (cr)</t>
  </si>
  <si>
    <t>value per share</t>
  </si>
  <si>
    <t>current market price</t>
  </si>
  <si>
    <t>overvalued by</t>
  </si>
  <si>
    <t xml:space="preserve">                       Intrinsic value</t>
  </si>
  <si>
    <r>
      <t xml:space="preserve">          M</t>
    </r>
    <r>
      <rPr>
        <b/>
        <sz val="11"/>
        <color theme="1"/>
        <rFont val="Calibri"/>
        <family val="2"/>
        <scheme val="minor"/>
      </rPr>
      <t>arket capitalization</t>
    </r>
  </si>
  <si>
    <t>Crores</t>
  </si>
  <si>
    <t xml:space="preserve">      MARKET PRICE OSF SHARES</t>
  </si>
  <si>
    <t>INR1616</t>
  </si>
  <si>
    <t xml:space="preserve">              VALUE PER SHARE</t>
  </si>
  <si>
    <t>INR1220</t>
  </si>
  <si>
    <t xml:space="preserve">  INTRINSIC VALUE</t>
  </si>
  <si>
    <t>VALUATION- DISCOUNTED CASH FLOW</t>
  </si>
  <si>
    <t>INFOSYS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</si>
</sst>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%"/>
    <numFmt numFmtId="165" formatCode="0.0"/>
    <numFmt numFmtId="166" formatCode="#,##0.0"/>
    <numFmt numFmtId="167" formatCode="0.000%"/>
    <numFmt numFmtId="168" formatCode="0.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8"/>
      <name val="Calibri"/>
      <family val="2"/>
      <scheme val="minor"/>
    </font>
    <font>
      <sz val="9"/>
      <color rgb="FF22222F"/>
      <name val="Arial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22222F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10" fontId="0" fillId="0" borderId="0" xfId="0" applyNumberFormat="1"/>
    <xf numFmtId="0" fontId="0" fillId="0" borderId="2" xfId="1" applyNumberFormat="1" applyFont="1" applyBorder="1"/>
    <xf numFmtId="9" fontId="0" fillId="0" borderId="0" xfId="1" applyFont="1"/>
    <xf numFmtId="0" fontId="0" fillId="0" borderId="3" xfId="0" applyBorder="1"/>
    <xf numFmtId="3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2" borderId="2" xfId="0" applyFill="1" applyBorder="1"/>
    <xf numFmtId="0" fontId="0" fillId="2" borderId="4" xfId="0" applyFill="1" applyBorder="1"/>
    <xf numFmtId="17" fontId="0" fillId="2" borderId="4" xfId="0" applyNumberFormat="1" applyFill="1" applyBorder="1"/>
    <xf numFmtId="17" fontId="0" fillId="3" borderId="4" xfId="0" applyNumberFormat="1" applyFill="1" applyBorder="1"/>
    <xf numFmtId="0" fontId="0" fillId="4" borderId="4" xfId="0" applyFill="1" applyBorder="1"/>
    <xf numFmtId="0" fontId="0" fillId="5" borderId="2" xfId="0" applyFill="1" applyBorder="1"/>
    <xf numFmtId="0" fontId="0" fillId="0" borderId="4" xfId="0" applyBorder="1"/>
    <xf numFmtId="0" fontId="2" fillId="0" borderId="0" xfId="0" applyFont="1"/>
    <xf numFmtId="0" fontId="0" fillId="5" borderId="0" xfId="0" applyFill="1"/>
    <xf numFmtId="0" fontId="2" fillId="0" borderId="2" xfId="0" applyFont="1" applyBorder="1"/>
    <xf numFmtId="43" fontId="2" fillId="0" borderId="0" xfId="2" applyFont="1" applyBorder="1"/>
    <xf numFmtId="3" fontId="5" fillId="6" borderId="0" xfId="0" applyNumberFormat="1" applyFont="1" applyFill="1" applyAlignment="1">
      <alignment horizontal="right" vertical="center" wrapText="1"/>
    </xf>
    <xf numFmtId="17" fontId="0" fillId="5" borderId="0" xfId="0" applyNumberFormat="1" applyFill="1"/>
    <xf numFmtId="17" fontId="0" fillId="5" borderId="5" xfId="0" applyNumberFormat="1" applyFill="1" applyBorder="1"/>
    <xf numFmtId="3" fontId="5" fillId="7" borderId="0" xfId="0" applyNumberFormat="1" applyFont="1" applyFill="1" applyAlignment="1">
      <alignment horizontal="right" vertical="center" wrapText="1"/>
    </xf>
    <xf numFmtId="0" fontId="5" fillId="7" borderId="0" xfId="0" applyFont="1" applyFill="1" applyAlignment="1">
      <alignment horizontal="right" vertical="center" wrapText="1"/>
    </xf>
    <xf numFmtId="3" fontId="0" fillId="0" borderId="2" xfId="0" applyNumberFormat="1" applyBorder="1"/>
    <xf numFmtId="164" fontId="0" fillId="0" borderId="0" xfId="1" applyNumberFormat="1" applyFont="1"/>
    <xf numFmtId="3" fontId="5" fillId="7" borderId="5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right" vertical="center" wrapText="1"/>
    </xf>
    <xf numFmtId="3" fontId="0" fillId="0" borderId="5" xfId="0" applyNumberFormat="1" applyBorder="1"/>
    <xf numFmtId="164" fontId="0" fillId="0" borderId="5" xfId="1" applyNumberFormat="1" applyFont="1" applyBorder="1"/>
    <xf numFmtId="164" fontId="0" fillId="0" borderId="0" xfId="0" applyNumberFormat="1"/>
    <xf numFmtId="165" fontId="0" fillId="4" borderId="4" xfId="0" applyNumberFormat="1" applyFill="1" applyBorder="1"/>
    <xf numFmtId="9" fontId="0" fillId="5" borderId="2" xfId="1" applyFont="1" applyFill="1" applyBorder="1"/>
    <xf numFmtId="164" fontId="0" fillId="5" borderId="2" xfId="1" applyNumberFormat="1" applyFont="1" applyFill="1" applyBorder="1"/>
    <xf numFmtId="43" fontId="0" fillId="0" borderId="0" xfId="0" applyNumberFormat="1"/>
    <xf numFmtId="165" fontId="0" fillId="0" borderId="2" xfId="0" applyNumberFormat="1" applyBorder="1"/>
    <xf numFmtId="165" fontId="0" fillId="0" borderId="0" xfId="0" applyNumberFormat="1"/>
    <xf numFmtId="165" fontId="0" fillId="0" borderId="4" xfId="0" applyNumberFormat="1" applyBorder="1"/>
    <xf numFmtId="164" fontId="0" fillId="5" borderId="2" xfId="0" applyNumberFormat="1" applyFill="1" applyBorder="1"/>
    <xf numFmtId="166" fontId="0" fillId="0" borderId="0" xfId="0" applyNumberFormat="1"/>
    <xf numFmtId="4" fontId="0" fillId="0" borderId="0" xfId="0" applyNumberFormat="1"/>
    <xf numFmtId="0" fontId="0" fillId="8" borderId="0" xfId="0" applyFill="1"/>
    <xf numFmtId="2" fontId="0" fillId="8" borderId="0" xfId="0" applyNumberFormat="1" applyFill="1"/>
    <xf numFmtId="0" fontId="0" fillId="9" borderId="0" xfId="0" applyFill="1"/>
    <xf numFmtId="10" fontId="0" fillId="9" borderId="0" xfId="0" applyNumberFormat="1" applyFill="1"/>
    <xf numFmtId="0" fontId="0" fillId="10" borderId="0" xfId="0" applyFill="1"/>
    <xf numFmtId="0" fontId="0" fillId="11" borderId="0" xfId="0" applyFill="1"/>
    <xf numFmtId="165" fontId="0" fillId="10" borderId="0" xfId="0" applyNumberFormat="1" applyFill="1"/>
    <xf numFmtId="9" fontId="0" fillId="12" borderId="0" xfId="0" applyNumberFormat="1" applyFill="1"/>
    <xf numFmtId="0" fontId="0" fillId="13" borderId="0" xfId="0" applyFill="1"/>
    <xf numFmtId="165" fontId="0" fillId="13" borderId="0" xfId="0" applyNumberFormat="1" applyFill="1"/>
    <xf numFmtId="167" fontId="0" fillId="0" borderId="0" xfId="1" applyNumberFormat="1" applyFont="1"/>
    <xf numFmtId="3" fontId="7" fillId="0" borderId="0" xfId="0" applyNumberFormat="1" applyFont="1"/>
    <xf numFmtId="3" fontId="7" fillId="13" borderId="0" xfId="0" applyNumberFormat="1" applyFont="1" applyFill="1"/>
    <xf numFmtId="164" fontId="0" fillId="13" borderId="0" xfId="1" applyNumberFormat="1" applyFont="1" applyFill="1"/>
    <xf numFmtId="168" fontId="0" fillId="0" borderId="0" xfId="1" applyNumberFormat="1" applyFont="1"/>
    <xf numFmtId="0" fontId="0" fillId="14" borderId="0" xfId="0" applyFill="1"/>
    <xf numFmtId="3" fontId="0" fillId="14" borderId="0" xfId="0" applyNumberFormat="1" applyFill="1"/>
    <xf numFmtId="3" fontId="9" fillId="14" borderId="0" xfId="0" applyNumberFormat="1" applyFont="1" applyFill="1"/>
    <xf numFmtId="0" fontId="0" fillId="15" borderId="0" xfId="0" applyFill="1"/>
    <xf numFmtId="0" fontId="2" fillId="15" borderId="0" xfId="0" applyFont="1" applyFill="1"/>
    <xf numFmtId="0" fontId="10" fillId="15" borderId="0" xfId="0" applyFont="1" applyFill="1"/>
    <xf numFmtId="0" fontId="8" fillId="15" borderId="0" xfId="0" applyFont="1" applyFill="1"/>
    <xf numFmtId="0" fontId="0" fillId="16" borderId="0" xfId="0" applyFill="1"/>
    <xf numFmtId="0" fontId="2" fillId="16" borderId="0" xfId="0" applyFont="1" applyFill="1"/>
    <xf numFmtId="3" fontId="11" fillId="16" borderId="0" xfId="0" applyNumberFormat="1" applyFont="1" applyFill="1"/>
    <xf numFmtId="0" fontId="12" fillId="15" borderId="0" xfId="0" applyFont="1" applyFill="1"/>
    <xf numFmtId="165" fontId="2" fillId="15" borderId="0" xfId="0" applyNumberFormat="1" applyFont="1" applyFill="1"/>
    <xf numFmtId="9" fontId="0" fillId="9" borderId="0" xfId="0" applyNumberFormat="1" applyFill="1"/>
    <xf numFmtId="0" fontId="0" fillId="17" borderId="0" xfId="0" applyFill="1"/>
    <xf numFmtId="0" fontId="13" fillId="17" borderId="0" xfId="0" applyFont="1" applyFill="1"/>
    <xf numFmtId="0" fontId="2" fillId="17" borderId="0" xfId="0" applyFont="1" applyFill="1"/>
    <xf numFmtId="0" fontId="14" fillId="17" borderId="0" xfId="0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ABAE-2B21-48D1-94A0-2DD40A16DCE6}">
  <dimension ref="A1:AJ67"/>
  <sheetViews>
    <sheetView showGridLines="0" tabSelected="1" topLeftCell="A52" zoomScale="88" workbookViewId="0">
      <selection activeCell="J6" sqref="J6"/>
    </sheetView>
  </sheetViews>
  <sheetFormatPr defaultRowHeight="14.5" x14ac:dyDescent="0.35"/>
  <cols>
    <col min="1" max="1" width="8.7265625" customWidth="1"/>
    <col min="3" max="3" width="10.7265625" customWidth="1"/>
    <col min="5" max="5" width="9.81640625" bestFit="1" customWidth="1"/>
    <col min="6" max="8" width="11.453125" bestFit="1" customWidth="1"/>
    <col min="9" max="9" width="20.08984375" bestFit="1" customWidth="1"/>
    <col min="10" max="10" width="11.7265625" customWidth="1"/>
    <col min="11" max="15" width="11.453125" bestFit="1" customWidth="1"/>
    <col min="16" max="19" width="9.81640625" bestFit="1" customWidth="1"/>
    <col min="20" max="20" width="13.54296875" bestFit="1" customWidth="1"/>
    <col min="35" max="35" width="10.453125" bestFit="1" customWidth="1"/>
  </cols>
  <sheetData>
    <row r="1" spans="1:32" ht="15.5" x14ac:dyDescent="0.35">
      <c r="C1" s="72"/>
      <c r="D1" s="72"/>
      <c r="E1" s="73" t="s">
        <v>74</v>
      </c>
      <c r="F1" s="74"/>
      <c r="G1" s="74"/>
      <c r="H1" s="74"/>
      <c r="I1" s="72"/>
      <c r="J1" s="72"/>
      <c r="K1" s="72"/>
    </row>
    <row r="2" spans="1:32" x14ac:dyDescent="0.35">
      <c r="C2" s="72"/>
      <c r="D2" s="72"/>
      <c r="E2" s="74"/>
      <c r="F2" s="74"/>
      <c r="G2" s="74"/>
      <c r="H2" s="74"/>
      <c r="I2" s="72"/>
      <c r="J2" s="72"/>
      <c r="K2" s="72"/>
    </row>
    <row r="3" spans="1:32" ht="18.5" x14ac:dyDescent="0.45">
      <c r="C3" s="72"/>
      <c r="D3" s="72"/>
      <c r="E3" s="74"/>
      <c r="F3" s="74"/>
      <c r="G3" s="75" t="s">
        <v>75</v>
      </c>
      <c r="H3" s="74"/>
      <c r="I3" s="72"/>
      <c r="J3" s="72"/>
      <c r="K3" s="72"/>
    </row>
    <row r="4" spans="1:32" x14ac:dyDescent="0.35">
      <c r="A4" t="s">
        <v>42</v>
      </c>
      <c r="C4" s="72"/>
      <c r="D4" s="72"/>
      <c r="E4" s="72"/>
      <c r="F4" s="72"/>
      <c r="G4" s="72"/>
      <c r="H4" s="72"/>
      <c r="I4" s="72"/>
      <c r="J4" s="72"/>
      <c r="K4" s="72"/>
    </row>
    <row r="5" spans="1:32" x14ac:dyDescent="0.35">
      <c r="A5" s="44" t="s">
        <v>43</v>
      </c>
      <c r="B5" s="44"/>
      <c r="C5" s="44"/>
      <c r="D5" s="44"/>
      <c r="E5" s="45" t="s">
        <v>44</v>
      </c>
      <c r="F5" s="44" t="s">
        <v>45</v>
      </c>
    </row>
    <row r="6" spans="1:32" x14ac:dyDescent="0.35">
      <c r="A6" s="46" t="s">
        <v>46</v>
      </c>
      <c r="B6" s="46"/>
      <c r="C6" s="46"/>
      <c r="D6" s="46"/>
      <c r="E6" s="46"/>
      <c r="F6" s="71">
        <v>0.11</v>
      </c>
    </row>
    <row r="7" spans="1:32" x14ac:dyDescent="0.35">
      <c r="A7" s="46" t="s">
        <v>47</v>
      </c>
      <c r="B7" s="46"/>
      <c r="C7" s="46"/>
      <c r="D7" s="46"/>
      <c r="E7" s="47">
        <f>AD28</f>
        <v>0.12665008234304373</v>
      </c>
      <c r="F7" s="46"/>
    </row>
    <row r="9" spans="1:32" ht="15" thickBot="1" x14ac:dyDescent="0.4">
      <c r="A9" s="11"/>
      <c r="B9" s="11"/>
      <c r="C9" s="11"/>
      <c r="D9" s="11"/>
      <c r="E9" s="11" t="s">
        <v>30</v>
      </c>
      <c r="F9" s="10"/>
      <c r="G9" s="10"/>
      <c r="H9" s="10"/>
      <c r="I9" s="10" t="s">
        <v>16</v>
      </c>
      <c r="J9" s="10"/>
      <c r="K9" s="10"/>
      <c r="L9" s="10"/>
      <c r="M9" s="10"/>
      <c r="N9" s="10"/>
      <c r="O9" s="10"/>
    </row>
    <row r="10" spans="1:32" ht="15.5" thickTop="1" thickBot="1" x14ac:dyDescent="0.4">
      <c r="A10" s="12" t="s">
        <v>15</v>
      </c>
      <c r="B10" s="12"/>
      <c r="C10" s="12"/>
      <c r="D10" s="12"/>
      <c r="E10" s="13">
        <v>45717</v>
      </c>
      <c r="F10" s="14">
        <v>46082</v>
      </c>
      <c r="G10" s="14">
        <v>46447</v>
      </c>
      <c r="H10" s="14">
        <v>46813</v>
      </c>
      <c r="I10" s="14">
        <v>47178</v>
      </c>
      <c r="J10" s="14">
        <v>47543</v>
      </c>
      <c r="K10" s="14">
        <v>47908</v>
      </c>
      <c r="L10" s="14">
        <v>48274</v>
      </c>
      <c r="M10" s="14">
        <v>48639</v>
      </c>
      <c r="N10" s="14">
        <v>49004</v>
      </c>
      <c r="O10" s="14">
        <v>49369</v>
      </c>
    </row>
    <row r="11" spans="1:32" ht="15.5" thickTop="1" thickBot="1" x14ac:dyDescent="0.4">
      <c r="A11" s="15" t="s">
        <v>17</v>
      </c>
      <c r="B11" s="15"/>
      <c r="C11" s="15"/>
      <c r="D11" s="15"/>
      <c r="E11" s="34">
        <v>0</v>
      </c>
      <c r="F11" s="15">
        <v>0.5</v>
      </c>
      <c r="G11" s="15">
        <v>1.5</v>
      </c>
      <c r="H11" s="15">
        <v>2.5</v>
      </c>
      <c r="I11" s="15">
        <v>3.5</v>
      </c>
      <c r="J11" s="15">
        <v>4.5</v>
      </c>
      <c r="K11" s="15">
        <v>5.5</v>
      </c>
      <c r="L11" s="15">
        <v>6.5</v>
      </c>
      <c r="M11" s="15">
        <v>7.5</v>
      </c>
      <c r="N11" s="15">
        <v>8.5</v>
      </c>
      <c r="O11" s="15">
        <v>9.5</v>
      </c>
      <c r="Z11" s="2" t="s">
        <v>2</v>
      </c>
      <c r="AA11" s="3"/>
      <c r="AB11" s="3"/>
      <c r="AC11" s="3"/>
      <c r="AD11" s="3"/>
    </row>
    <row r="12" spans="1:32" ht="15.5" thickTop="1" thickBot="1" x14ac:dyDescent="0.4">
      <c r="A12" s="16" t="s">
        <v>18</v>
      </c>
      <c r="B12" s="16"/>
      <c r="C12" s="16"/>
      <c r="D12" s="16"/>
      <c r="E12" s="16"/>
      <c r="F12" s="36">
        <v>2.5000000000000001E-2</v>
      </c>
      <c r="G12" s="35">
        <v>0.03</v>
      </c>
      <c r="H12" s="35">
        <v>0.05</v>
      </c>
      <c r="I12" s="35">
        <v>0.08</v>
      </c>
      <c r="J12" s="35">
        <v>0.1</v>
      </c>
      <c r="K12" s="35">
        <v>0.11</v>
      </c>
      <c r="L12" s="35">
        <v>0.11</v>
      </c>
      <c r="M12" s="35">
        <v>0.11</v>
      </c>
      <c r="N12" s="35">
        <v>0.11</v>
      </c>
      <c r="O12" s="35">
        <v>0.11</v>
      </c>
      <c r="Z12" s="1" t="s">
        <v>3</v>
      </c>
      <c r="AA12" s="1"/>
      <c r="AB12" s="1"/>
      <c r="AC12" s="1"/>
    </row>
    <row r="13" spans="1:32" ht="15" thickTop="1" x14ac:dyDescent="0.35">
      <c r="A13" t="s">
        <v>19</v>
      </c>
      <c r="E13">
        <v>162990</v>
      </c>
      <c r="F13" s="21">
        <f>E13*(1+F12)</f>
        <v>167064.75</v>
      </c>
      <c r="G13" s="21">
        <f t="shared" ref="G13:O13" si="0">F13*(1+G12)</f>
        <v>172076.6925</v>
      </c>
      <c r="H13" s="21">
        <f t="shared" si="0"/>
        <v>180680.52712500002</v>
      </c>
      <c r="I13" s="21">
        <f t="shared" si="0"/>
        <v>195134.96929500005</v>
      </c>
      <c r="J13" s="21">
        <f t="shared" si="0"/>
        <v>214648.46622450007</v>
      </c>
      <c r="K13" s="21">
        <f t="shared" si="0"/>
        <v>238259.79750919508</v>
      </c>
      <c r="L13" s="21">
        <f t="shared" si="0"/>
        <v>264468.37523520656</v>
      </c>
      <c r="M13" s="21">
        <f t="shared" si="0"/>
        <v>293559.89651107934</v>
      </c>
      <c r="N13" s="21">
        <f t="shared" si="0"/>
        <v>325851.4851272981</v>
      </c>
      <c r="O13" s="21">
        <f t="shared" si="0"/>
        <v>361695.14849130093</v>
      </c>
      <c r="Z13" t="s">
        <v>4</v>
      </c>
      <c r="AD13" s="4">
        <v>6.4399999999999999E-2</v>
      </c>
    </row>
    <row r="14" spans="1:32" x14ac:dyDescent="0.35">
      <c r="A14" t="s">
        <v>20</v>
      </c>
      <c r="E14">
        <v>39236</v>
      </c>
      <c r="F14" s="37">
        <f>F13*0.24</f>
        <v>40095.54</v>
      </c>
      <c r="G14" s="37">
        <f t="shared" ref="G14:O14" si="1">G13*0.24</f>
        <v>41298.406199999998</v>
      </c>
      <c r="H14" s="37">
        <f t="shared" si="1"/>
        <v>43363.326510000006</v>
      </c>
      <c r="I14" s="37">
        <f t="shared" si="1"/>
        <v>46832.392630800008</v>
      </c>
      <c r="J14" s="37">
        <f t="shared" si="1"/>
        <v>51515.63189388001</v>
      </c>
      <c r="K14" s="37">
        <f t="shared" si="1"/>
        <v>57182.351402206819</v>
      </c>
      <c r="L14" s="37">
        <f t="shared" si="1"/>
        <v>63472.410056449575</v>
      </c>
      <c r="M14" s="37">
        <f t="shared" si="1"/>
        <v>70454.375162659038</v>
      </c>
      <c r="N14" s="37">
        <f t="shared" si="1"/>
        <v>78204.356430551547</v>
      </c>
      <c r="O14" s="37">
        <f t="shared" si="1"/>
        <v>86806.835637912227</v>
      </c>
      <c r="Z14" t="s">
        <v>0</v>
      </c>
      <c r="AD14" s="4">
        <v>7.2599999999999998E-2</v>
      </c>
    </row>
    <row r="15" spans="1:32" ht="15" thickBot="1" x14ac:dyDescent="0.4">
      <c r="A15" s="3" t="s">
        <v>21</v>
      </c>
      <c r="B15" s="3"/>
      <c r="C15" s="3"/>
      <c r="D15" s="3"/>
      <c r="E15" s="3">
        <v>4812</v>
      </c>
      <c r="F15" s="38">
        <f>E15+(F23*0.1314)</f>
        <v>5101.2114000000001</v>
      </c>
      <c r="G15" s="38">
        <f t="shared" ref="G15:O15" si="2">F15+(G23*0.1314)</f>
        <v>5401.9912560000002</v>
      </c>
      <c r="H15" s="38">
        <f t="shared" si="2"/>
        <v>5714.8023062400007</v>
      </c>
      <c r="I15" s="38">
        <f t="shared" si="2"/>
        <v>6040.125798489601</v>
      </c>
      <c r="J15" s="38">
        <f t="shared" si="2"/>
        <v>6378.4622304291852</v>
      </c>
      <c r="K15" s="38">
        <f t="shared" si="2"/>
        <v>6730.332119646353</v>
      </c>
      <c r="L15" s="38">
        <f t="shared" si="2"/>
        <v>7096.2768044322074</v>
      </c>
      <c r="M15" s="38">
        <f t="shared" si="2"/>
        <v>7476.8592766094953</v>
      </c>
      <c r="N15" s="38">
        <f t="shared" si="2"/>
        <v>7872.6650476738751</v>
      </c>
      <c r="O15" s="38">
        <f t="shared" si="2"/>
        <v>8284.3030495808307</v>
      </c>
      <c r="Z15" s="3" t="s">
        <v>1</v>
      </c>
      <c r="AA15" s="3"/>
      <c r="AB15" s="3"/>
      <c r="AC15" s="3"/>
      <c r="AD15" s="5">
        <v>0.871</v>
      </c>
    </row>
    <row r="16" spans="1:32" ht="17" thickTop="1" x14ac:dyDescent="0.45">
      <c r="A16" t="s">
        <v>22</v>
      </c>
      <c r="E16" s="39">
        <f>E14-E15</f>
        <v>34424</v>
      </c>
      <c r="F16" s="39">
        <f t="shared" ref="F16:O16" si="3">F14-F15</f>
        <v>34994.328600000001</v>
      </c>
      <c r="G16" s="39">
        <f t="shared" si="3"/>
        <v>35896.414943999996</v>
      </c>
      <c r="H16" s="39">
        <f t="shared" si="3"/>
        <v>37648.524203760004</v>
      </c>
      <c r="I16" s="39">
        <f t="shared" si="3"/>
        <v>40792.266832310408</v>
      </c>
      <c r="J16" s="39">
        <f t="shared" si="3"/>
        <v>45137.169663450826</v>
      </c>
      <c r="K16" s="39">
        <f t="shared" si="3"/>
        <v>50452.019282560468</v>
      </c>
      <c r="L16" s="39">
        <f t="shared" si="3"/>
        <v>56376.133252017367</v>
      </c>
      <c r="M16" s="39">
        <f t="shared" si="3"/>
        <v>62977.515886049543</v>
      </c>
      <c r="N16" s="39">
        <f t="shared" si="3"/>
        <v>70331.691382877674</v>
      </c>
      <c r="O16" s="39">
        <f t="shared" si="3"/>
        <v>78522.532588331393</v>
      </c>
      <c r="Z16" t="s">
        <v>8</v>
      </c>
      <c r="AD16" s="4">
        <f>AD13+AD14*AD15</f>
        <v>0.12763459999999999</v>
      </c>
      <c r="AF16">
        <v>100</v>
      </c>
    </row>
    <row r="17" spans="1:36" ht="15" thickBot="1" x14ac:dyDescent="0.4">
      <c r="A17" s="3" t="s">
        <v>24</v>
      </c>
      <c r="B17" s="3"/>
      <c r="C17" s="3"/>
      <c r="D17" s="3"/>
      <c r="E17" s="38">
        <f>E16*0.25</f>
        <v>8606</v>
      </c>
      <c r="F17" s="38">
        <f t="shared" ref="F17:O17" si="4">F16*0.25</f>
        <v>8748.5821500000002</v>
      </c>
      <c r="G17" s="38">
        <f t="shared" si="4"/>
        <v>8974.1037359999991</v>
      </c>
      <c r="H17" s="38">
        <f t="shared" si="4"/>
        <v>9412.1310509400009</v>
      </c>
      <c r="I17" s="38">
        <f t="shared" si="4"/>
        <v>10198.066708077602</v>
      </c>
      <c r="J17" s="38">
        <f t="shared" si="4"/>
        <v>11284.292415862707</v>
      </c>
      <c r="K17" s="38">
        <f t="shared" si="4"/>
        <v>12613.004820640117</v>
      </c>
      <c r="L17" s="38">
        <f t="shared" si="4"/>
        <v>14094.033313004342</v>
      </c>
      <c r="M17" s="38">
        <f t="shared" si="4"/>
        <v>15744.378971512386</v>
      </c>
      <c r="N17" s="38">
        <f t="shared" si="4"/>
        <v>17582.922845719419</v>
      </c>
      <c r="O17" s="38">
        <f t="shared" si="4"/>
        <v>19630.633147082848</v>
      </c>
      <c r="Z17" t="s">
        <v>5</v>
      </c>
      <c r="AD17" s="4">
        <f>AD13+AE17</f>
        <v>6.8900000000000003E-2</v>
      </c>
      <c r="AE17" s="4">
        <v>4.4999999999999997E-3</v>
      </c>
      <c r="AH17" s="59"/>
      <c r="AI17" s="59"/>
      <c r="AJ17" s="59"/>
    </row>
    <row r="18" spans="1:36" ht="15.5" thickTop="1" thickBot="1" x14ac:dyDescent="0.4">
      <c r="A18" s="3" t="s">
        <v>25</v>
      </c>
      <c r="B18" s="3"/>
      <c r="C18" s="3"/>
      <c r="D18" s="3"/>
      <c r="E18" s="3">
        <f>E16-E17</f>
        <v>25818</v>
      </c>
      <c r="F18" s="38">
        <f>F16-F17</f>
        <v>26245.746449999999</v>
      </c>
      <c r="G18" s="38">
        <f t="shared" ref="G18:O18" si="5">G16-G17</f>
        <v>26922.311207999999</v>
      </c>
      <c r="H18" s="38">
        <f t="shared" si="5"/>
        <v>28236.393152820005</v>
      </c>
      <c r="I18" s="38">
        <f t="shared" si="5"/>
        <v>30594.200124232804</v>
      </c>
      <c r="J18" s="38">
        <f t="shared" si="5"/>
        <v>33852.87724758812</v>
      </c>
      <c r="K18" s="38">
        <f t="shared" si="5"/>
        <v>37839.014461920349</v>
      </c>
      <c r="L18" s="38">
        <f t="shared" si="5"/>
        <v>42282.099939013024</v>
      </c>
      <c r="M18" s="38">
        <f t="shared" si="5"/>
        <v>47233.136914537157</v>
      </c>
      <c r="N18" s="38">
        <f t="shared" si="5"/>
        <v>52748.768537158256</v>
      </c>
      <c r="O18" s="38">
        <f t="shared" si="5"/>
        <v>58891.899441248548</v>
      </c>
      <c r="Z18" s="3" t="s">
        <v>6</v>
      </c>
      <c r="AA18" s="3"/>
      <c r="AB18" s="3"/>
      <c r="AD18" s="6">
        <v>0.25</v>
      </c>
      <c r="AH18" s="59" t="s">
        <v>67</v>
      </c>
      <c r="AI18" s="59"/>
      <c r="AJ18" s="59"/>
    </row>
    <row r="19" spans="1:36" ht="19.5" thickTop="1" thickBot="1" x14ac:dyDescent="0.5">
      <c r="A19" s="17" t="s">
        <v>23</v>
      </c>
      <c r="B19" s="17"/>
      <c r="C19" s="17"/>
      <c r="D19" s="17"/>
      <c r="E19" s="3">
        <v>4812</v>
      </c>
      <c r="F19" s="40">
        <f>F15</f>
        <v>5101.2114000000001</v>
      </c>
      <c r="G19" s="40">
        <f t="shared" ref="G19:O19" si="6">G15</f>
        <v>5401.9912560000002</v>
      </c>
      <c r="H19" s="40">
        <f t="shared" si="6"/>
        <v>5714.8023062400007</v>
      </c>
      <c r="I19" s="40">
        <f t="shared" si="6"/>
        <v>6040.125798489601</v>
      </c>
      <c r="J19" s="40">
        <f t="shared" si="6"/>
        <v>6378.4622304291852</v>
      </c>
      <c r="K19" s="40">
        <f t="shared" si="6"/>
        <v>6730.332119646353</v>
      </c>
      <c r="L19" s="40">
        <f t="shared" si="6"/>
        <v>7096.2768044322074</v>
      </c>
      <c r="M19" s="40">
        <f t="shared" si="6"/>
        <v>7476.8592766094953</v>
      </c>
      <c r="N19" s="40">
        <f t="shared" si="6"/>
        <v>7872.6650476738751</v>
      </c>
      <c r="O19" s="40">
        <f t="shared" si="6"/>
        <v>8284.3030495808307</v>
      </c>
      <c r="Z19" t="s">
        <v>7</v>
      </c>
      <c r="AD19" s="4">
        <f>AD17*(1-AD18)</f>
        <v>5.1674999999999999E-2</v>
      </c>
      <c r="AH19" s="60"/>
      <c r="AI19" s="61">
        <v>626520</v>
      </c>
      <c r="AJ19" s="59" t="s">
        <v>68</v>
      </c>
    </row>
    <row r="20" spans="1:36" ht="15" thickTop="1" x14ac:dyDescent="0.35">
      <c r="A20" t="s">
        <v>26</v>
      </c>
      <c r="E20" s="39">
        <f>E18+E19</f>
        <v>30630</v>
      </c>
      <c r="F20" s="39">
        <f t="shared" ref="F20:H20" si="7">F18+F19</f>
        <v>31346.957849999999</v>
      </c>
      <c r="G20" s="39">
        <f t="shared" si="7"/>
        <v>32324.302464</v>
      </c>
      <c r="H20" s="39">
        <f t="shared" si="7"/>
        <v>33951.195459060007</v>
      </c>
      <c r="I20" s="39">
        <f t="shared" ref="I20" si="8">I18+I19</f>
        <v>36634.325922722404</v>
      </c>
      <c r="J20" s="39">
        <f t="shared" ref="J20:K20" si="9">J18+J19</f>
        <v>40231.339478017304</v>
      </c>
      <c r="K20" s="39">
        <f t="shared" si="9"/>
        <v>44569.3465815667</v>
      </c>
      <c r="L20" s="39">
        <f t="shared" ref="L20" si="10">L18+L19</f>
        <v>49378.376743445231</v>
      </c>
      <c r="M20" s="39">
        <f t="shared" ref="M20:N20" si="11">M18+M19</f>
        <v>54709.996191146653</v>
      </c>
      <c r="N20" s="39">
        <f t="shared" si="11"/>
        <v>60621.433584832128</v>
      </c>
      <c r="O20" s="39">
        <f t="shared" ref="O20" si="12">O18+O19</f>
        <v>67176.202490829382</v>
      </c>
      <c r="T20" t="s">
        <v>34</v>
      </c>
      <c r="Z20" t="s">
        <v>9</v>
      </c>
      <c r="AD20" s="8">
        <v>626520</v>
      </c>
    </row>
    <row r="21" spans="1:36" x14ac:dyDescent="0.35">
      <c r="A21" t="s">
        <v>27</v>
      </c>
      <c r="T21" s="22">
        <v>2107</v>
      </c>
      <c r="U21" s="22">
        <v>2161</v>
      </c>
      <c r="V21" s="22">
        <v>2579</v>
      </c>
      <c r="W21" s="22">
        <v>2201</v>
      </c>
      <c r="X21" s="22">
        <v>2237</v>
      </c>
      <c r="Z21" t="s">
        <v>10</v>
      </c>
      <c r="AD21">
        <v>8227</v>
      </c>
    </row>
    <row r="22" spans="1:36" x14ac:dyDescent="0.35">
      <c r="A22" t="s">
        <v>28</v>
      </c>
      <c r="E22" s="8">
        <f>J61</f>
        <v>757</v>
      </c>
      <c r="F22" s="8">
        <f t="shared" ref="F22:O22" si="13">K61</f>
        <v>682.39601058006156</v>
      </c>
      <c r="G22" s="8">
        <f t="shared" si="13"/>
        <v>830.29188031740341</v>
      </c>
      <c r="H22" s="8">
        <f t="shared" si="13"/>
        <v>1425.334394544876</v>
      </c>
      <c r="I22" s="8">
        <f t="shared" si="13"/>
        <v>2394.5617828353897</v>
      </c>
      <c r="J22" s="8">
        <f t="shared" si="13"/>
        <v>3232.6584068277771</v>
      </c>
      <c r="K22" s="8">
        <f t="shared" si="13"/>
        <v>3911.516672261605</v>
      </c>
      <c r="L22" s="8">
        <f t="shared" si="13"/>
        <v>4341.7835062103841</v>
      </c>
      <c r="M22" s="8">
        <f t="shared" si="13"/>
        <v>4819.3796918935332</v>
      </c>
      <c r="N22" s="8">
        <f t="shared" si="13"/>
        <v>5349.5114580018198</v>
      </c>
      <c r="O22" s="8">
        <f t="shared" si="13"/>
        <v>5937.957718382022</v>
      </c>
      <c r="U22" s="28">
        <f>U21/T21-1</f>
        <v>2.5628856193640193E-2</v>
      </c>
      <c r="V22" s="28">
        <f t="shared" ref="V22:X22" si="14">V21/U21-1</f>
        <v>0.19342896807033783</v>
      </c>
      <c r="W22" s="28">
        <f t="shared" si="14"/>
        <v>-0.14656843737882896</v>
      </c>
      <c r="X22" s="28">
        <f t="shared" si="14"/>
        <v>1.6356201726487996E-2</v>
      </c>
      <c r="Z22" t="s">
        <v>11</v>
      </c>
      <c r="AD22" s="8">
        <f>AD26+AD21</f>
        <v>634747</v>
      </c>
    </row>
    <row r="23" spans="1:36" ht="15" thickBot="1" x14ac:dyDescent="0.4">
      <c r="A23" s="3" t="s">
        <v>29</v>
      </c>
      <c r="B23" s="3"/>
      <c r="C23" s="3"/>
      <c r="D23" s="3"/>
      <c r="E23" s="22">
        <v>2237</v>
      </c>
      <c r="F23" s="27">
        <f>MEDIAN(T21:X21)</f>
        <v>2201</v>
      </c>
      <c r="G23" s="38">
        <f>F23*1.04</f>
        <v>2289.04</v>
      </c>
      <c r="H23" s="38">
        <f t="shared" ref="H23:O23" si="15">G23*1.04</f>
        <v>2380.6016</v>
      </c>
      <c r="I23" s="38">
        <f t="shared" si="15"/>
        <v>2475.825664</v>
      </c>
      <c r="J23" s="38">
        <f t="shared" si="15"/>
        <v>2574.85869056</v>
      </c>
      <c r="K23" s="38">
        <f t="shared" si="15"/>
        <v>2677.8530381824003</v>
      </c>
      <c r="L23" s="38">
        <f t="shared" si="15"/>
        <v>2784.9671597096963</v>
      </c>
      <c r="M23" s="38">
        <f t="shared" si="15"/>
        <v>2896.3658460980841</v>
      </c>
      <c r="N23" s="38">
        <f t="shared" si="15"/>
        <v>3012.2204799420078</v>
      </c>
      <c r="O23" s="38">
        <f t="shared" si="15"/>
        <v>3132.7092991396885</v>
      </c>
      <c r="X23" s="8">
        <v>-1</v>
      </c>
      <c r="AH23" s="62" t="s">
        <v>66</v>
      </c>
      <c r="AI23" s="63" t="s">
        <v>73</v>
      </c>
      <c r="AJ23" s="62"/>
    </row>
    <row r="24" spans="1:36" ht="15" thickTop="1" x14ac:dyDescent="0.35">
      <c r="A24" s="18" t="s">
        <v>31</v>
      </c>
      <c r="E24" s="43">
        <f>E20-E22-E23</f>
        <v>27636</v>
      </c>
      <c r="F24" s="42">
        <f t="shared" ref="F24:O24" si="16">F20-F22-F23</f>
        <v>28463.561839419937</v>
      </c>
      <c r="G24" s="43">
        <f t="shared" si="16"/>
        <v>29204.970583682596</v>
      </c>
      <c r="H24" s="43">
        <f t="shared" si="16"/>
        <v>30145.259464515133</v>
      </c>
      <c r="I24" s="43">
        <f t="shared" si="16"/>
        <v>31763.938475887018</v>
      </c>
      <c r="J24" s="43">
        <f t="shared" si="16"/>
        <v>34423.822380629521</v>
      </c>
      <c r="K24" s="43">
        <f t="shared" si="16"/>
        <v>37979.976871122693</v>
      </c>
      <c r="L24" s="43">
        <f t="shared" si="16"/>
        <v>42251.62607752515</v>
      </c>
      <c r="M24" s="43">
        <f t="shared" si="16"/>
        <v>46994.250653155032</v>
      </c>
      <c r="N24" s="43">
        <f t="shared" si="16"/>
        <v>52259.701646888301</v>
      </c>
      <c r="O24" s="43">
        <f t="shared" si="16"/>
        <v>58105.535473307675</v>
      </c>
      <c r="Z24" t="s">
        <v>12</v>
      </c>
      <c r="AD24" s="9">
        <f>AD26/AD22</f>
        <v>0.9870389304715107</v>
      </c>
      <c r="AH24" s="62"/>
      <c r="AI24" s="70">
        <v>507630.3</v>
      </c>
      <c r="AJ24" s="63" t="s">
        <v>68</v>
      </c>
    </row>
    <row r="25" spans="1:36" ht="15" thickBot="1" x14ac:dyDescent="0.4">
      <c r="A25" s="16" t="s">
        <v>32</v>
      </c>
      <c r="B25" s="16"/>
      <c r="C25" s="16"/>
      <c r="D25" s="16"/>
      <c r="E25" s="41"/>
      <c r="F25" s="41">
        <f>$E$7</f>
        <v>0.12665008234304373</v>
      </c>
      <c r="G25" s="41">
        <f t="shared" ref="G25:O25" si="17">$E$7</f>
        <v>0.12665008234304373</v>
      </c>
      <c r="H25" s="41">
        <f t="shared" si="17"/>
        <v>0.12665008234304373</v>
      </c>
      <c r="I25" s="41">
        <f t="shared" si="17"/>
        <v>0.12665008234304373</v>
      </c>
      <c r="J25" s="41">
        <f t="shared" si="17"/>
        <v>0.12665008234304373</v>
      </c>
      <c r="K25" s="41">
        <f t="shared" si="17"/>
        <v>0.12665008234304373</v>
      </c>
      <c r="L25" s="41">
        <f t="shared" si="17"/>
        <v>0.12665008234304373</v>
      </c>
      <c r="M25" s="41">
        <f t="shared" si="17"/>
        <v>0.12665008234304373</v>
      </c>
      <c r="N25" s="41">
        <f t="shared" si="17"/>
        <v>0.12665008234304373</v>
      </c>
      <c r="O25" s="41">
        <f t="shared" si="17"/>
        <v>0.12665008234304373</v>
      </c>
      <c r="Z25" t="s">
        <v>13</v>
      </c>
      <c r="AD25" s="9">
        <f>AD21/AD22</f>
        <v>1.2961069528489303E-2</v>
      </c>
      <c r="AH25" s="62"/>
      <c r="AI25" s="62"/>
      <c r="AJ25" s="62"/>
    </row>
    <row r="26" spans="1:36" ht="15" hidden="1" thickTop="1" x14ac:dyDescent="0.35">
      <c r="Z26" t="s">
        <v>9</v>
      </c>
      <c r="AD26" s="8">
        <v>626520</v>
      </c>
      <c r="AH26" s="62"/>
      <c r="AI26" s="62"/>
      <c r="AJ26" s="62"/>
    </row>
    <row r="27" spans="1:36" ht="15.5" thickTop="1" thickBot="1" x14ac:dyDescent="0.4">
      <c r="A27" s="20" t="s">
        <v>33</v>
      </c>
      <c r="B27" s="3"/>
      <c r="C27" s="3"/>
      <c r="D27" s="3"/>
      <c r="E27" s="3"/>
      <c r="F27" s="38">
        <f>F24/(1+F25)^F11</f>
        <v>26816.044583062521</v>
      </c>
      <c r="G27" s="38">
        <f t="shared" ref="G27:N27" si="18">G24/(1+G25)^G11</f>
        <v>24421.548282370255</v>
      </c>
      <c r="H27" s="38">
        <f t="shared" si="18"/>
        <v>22374.142219299229</v>
      </c>
      <c r="I27" s="38">
        <f t="shared" si="18"/>
        <v>20925.346658477109</v>
      </c>
      <c r="J27" s="38">
        <f t="shared" si="18"/>
        <v>20128.358305344809</v>
      </c>
      <c r="K27" s="38">
        <f t="shared" si="18"/>
        <v>19711.283562289991</v>
      </c>
      <c r="L27" s="38">
        <f t="shared" si="18"/>
        <v>19463.215202883279</v>
      </c>
      <c r="M27" s="38">
        <f t="shared" si="18"/>
        <v>19214.400249596179</v>
      </c>
      <c r="N27" s="38">
        <f t="shared" si="18"/>
        <v>18965.311374313183</v>
      </c>
      <c r="O27" s="38">
        <f>O24/(1+O25)^9.5</f>
        <v>18716.365015148192</v>
      </c>
      <c r="AH27" s="62"/>
      <c r="AI27" s="62"/>
      <c r="AJ27" s="62"/>
    </row>
    <row r="28" spans="1:36" ht="15" thickTop="1" x14ac:dyDescent="0.35">
      <c r="Z28" s="7" t="s">
        <v>14</v>
      </c>
      <c r="AA28" s="7"/>
      <c r="AB28" s="7"/>
      <c r="AC28" s="7"/>
      <c r="AD28" s="54">
        <f>AD16*AD24+AD19*AD25</f>
        <v>0.12665008234304373</v>
      </c>
    </row>
    <row r="30" spans="1:36" x14ac:dyDescent="0.35">
      <c r="AH30" s="64" t="s">
        <v>69</v>
      </c>
      <c r="AI30" s="65"/>
      <c r="AJ30" s="65"/>
    </row>
    <row r="31" spans="1:36" ht="15.5" x14ac:dyDescent="0.35">
      <c r="A31" s="48" t="s">
        <v>48</v>
      </c>
      <c r="B31" s="48"/>
      <c r="C31" s="48"/>
      <c r="D31" s="50">
        <f>SUM(F27:O27)</f>
        <v>210736.01545278472</v>
      </c>
      <c r="AH31" s="65"/>
      <c r="AI31" s="69" t="s">
        <v>70</v>
      </c>
      <c r="AJ31" s="65"/>
    </row>
    <row r="32" spans="1:36" x14ac:dyDescent="0.35">
      <c r="AH32" s="65"/>
      <c r="AI32" s="65"/>
      <c r="AJ32" s="65"/>
    </row>
    <row r="33" spans="1:36" x14ac:dyDescent="0.35">
      <c r="A33" s="49" t="s">
        <v>49</v>
      </c>
      <c r="B33" s="49"/>
      <c r="C33" s="49"/>
      <c r="D33" s="49"/>
    </row>
    <row r="34" spans="1:36" x14ac:dyDescent="0.35">
      <c r="A34" t="s">
        <v>50</v>
      </c>
      <c r="D34" s="51">
        <v>0.05</v>
      </c>
    </row>
    <row r="35" spans="1:36" x14ac:dyDescent="0.35">
      <c r="A35" t="s">
        <v>51</v>
      </c>
      <c r="D35">
        <f>O24*(1+D34)</f>
        <v>61010.812246973059</v>
      </c>
      <c r="E35" t="s">
        <v>55</v>
      </c>
      <c r="AH35" s="66"/>
      <c r="AI35" s="66"/>
      <c r="AJ35" s="66"/>
    </row>
    <row r="36" spans="1:36" x14ac:dyDescent="0.35">
      <c r="A36" t="s">
        <v>52</v>
      </c>
      <c r="D36">
        <f>D35/(E7-D34)</f>
        <v>795965.38427606807</v>
      </c>
      <c r="AH36" s="67" t="s">
        <v>71</v>
      </c>
      <c r="AI36" s="67"/>
      <c r="AJ36" s="66"/>
    </row>
    <row r="37" spans="1:36" ht="15.5" x14ac:dyDescent="0.35">
      <c r="A37" t="s">
        <v>53</v>
      </c>
      <c r="D37">
        <f>D36/(1+E7)^O11</f>
        <v>256388.28642027033</v>
      </c>
      <c r="AH37" s="66"/>
      <c r="AI37" s="68" t="s">
        <v>72</v>
      </c>
      <c r="AJ37" s="66"/>
    </row>
    <row r="38" spans="1:36" x14ac:dyDescent="0.35">
      <c r="AH38" s="66"/>
      <c r="AI38" s="66"/>
      <c r="AJ38" s="66"/>
    </row>
    <row r="39" spans="1:36" x14ac:dyDescent="0.35">
      <c r="AH39" s="66"/>
      <c r="AI39" s="66"/>
      <c r="AJ39" s="66"/>
    </row>
    <row r="40" spans="1:36" x14ac:dyDescent="0.35">
      <c r="A40" s="52" t="s">
        <v>54</v>
      </c>
      <c r="B40" s="52"/>
      <c r="C40" s="52"/>
      <c r="D40" s="53">
        <f>D37+D31</f>
        <v>467124.30187305505</v>
      </c>
      <c r="E40" s="52"/>
    </row>
    <row r="43" spans="1:36" x14ac:dyDescent="0.35">
      <c r="A43" s="52" t="s">
        <v>56</v>
      </c>
      <c r="B43" s="52"/>
      <c r="D43" s="39">
        <f>D40</f>
        <v>467124.30187305505</v>
      </c>
    </row>
    <row r="44" spans="1:36" x14ac:dyDescent="0.35">
      <c r="A44" t="s">
        <v>57</v>
      </c>
      <c r="D44">
        <v>24455</v>
      </c>
    </row>
    <row r="45" spans="1:36" x14ac:dyDescent="0.35">
      <c r="A45" t="s">
        <v>58</v>
      </c>
      <c r="D45">
        <v>24623</v>
      </c>
    </row>
    <row r="46" spans="1:36" x14ac:dyDescent="0.35">
      <c r="A46" t="s">
        <v>59</v>
      </c>
      <c r="D46">
        <v>8227</v>
      </c>
    </row>
    <row r="47" spans="1:36" x14ac:dyDescent="0.35">
      <c r="A47" t="s">
        <v>60</v>
      </c>
      <c r="D47">
        <v>345</v>
      </c>
    </row>
    <row r="49" spans="1:20" x14ac:dyDescent="0.35">
      <c r="A49" s="52" t="s">
        <v>61</v>
      </c>
      <c r="B49" s="52"/>
      <c r="C49" s="52"/>
      <c r="D49" s="53">
        <f>D43+D44+D45-D46-D47</f>
        <v>507630.30187305505</v>
      </c>
      <c r="F49">
        <v>4143607528</v>
      </c>
      <c r="H49">
        <f>F49/F53</f>
        <v>414.3607528</v>
      </c>
    </row>
    <row r="50" spans="1:20" x14ac:dyDescent="0.35">
      <c r="A50" t="s">
        <v>62</v>
      </c>
      <c r="D50">
        <f>H51</f>
        <v>415.97894910000002</v>
      </c>
      <c r="F50">
        <v>8076058</v>
      </c>
      <c r="H50" cm="1">
        <f t="array" ref="H50">SUM(F50:F52/F53)</f>
        <v>1.6181963000000001</v>
      </c>
    </row>
    <row r="51" spans="1:20" x14ac:dyDescent="0.35">
      <c r="A51" s="52" t="s">
        <v>63</v>
      </c>
      <c r="B51" s="52"/>
      <c r="C51" s="52"/>
      <c r="D51" s="56">
        <f>D49/D50</f>
        <v>1220.3269010880219</v>
      </c>
      <c r="F51">
        <v>82050</v>
      </c>
      <c r="H51">
        <f>H50+H49</f>
        <v>415.97894910000002</v>
      </c>
    </row>
    <row r="52" spans="1:20" x14ac:dyDescent="0.35">
      <c r="A52" t="s">
        <v>64</v>
      </c>
      <c r="D52" s="55">
        <v>1616</v>
      </c>
      <c r="F52">
        <v>8023855</v>
      </c>
    </row>
    <row r="53" spans="1:20" x14ac:dyDescent="0.35">
      <c r="A53" s="52" t="s">
        <v>65</v>
      </c>
      <c r="B53" s="52"/>
      <c r="C53" s="52"/>
      <c r="D53" s="57">
        <f>(D51/D52-1)</f>
        <v>-0.24484721467325377</v>
      </c>
      <c r="F53">
        <v>10000000</v>
      </c>
    </row>
    <row r="54" spans="1:20" x14ac:dyDescent="0.35">
      <c r="D54" s="58"/>
    </row>
    <row r="55" spans="1:20" x14ac:dyDescent="0.35">
      <c r="A55" t="s">
        <v>35</v>
      </c>
    </row>
    <row r="56" spans="1:20" x14ac:dyDescent="0.35">
      <c r="A56" s="19"/>
      <c r="B56" s="19"/>
      <c r="C56" s="19"/>
      <c r="D56" s="19"/>
      <c r="E56" s="23">
        <v>43891</v>
      </c>
      <c r="F56" s="23">
        <v>44256</v>
      </c>
      <c r="G56" s="23">
        <v>44621</v>
      </c>
      <c r="H56" s="23">
        <v>44986</v>
      </c>
      <c r="I56" s="24">
        <v>45352</v>
      </c>
      <c r="J56" s="24">
        <v>45717</v>
      </c>
      <c r="K56" s="23">
        <v>46082</v>
      </c>
      <c r="L56" s="23">
        <v>46447</v>
      </c>
      <c r="M56" s="23">
        <v>46813</v>
      </c>
      <c r="N56" s="23">
        <v>47178</v>
      </c>
      <c r="O56" s="23">
        <v>47543</v>
      </c>
      <c r="P56" s="23">
        <v>47908</v>
      </c>
      <c r="Q56" s="23">
        <v>48274</v>
      </c>
      <c r="R56" s="23">
        <v>48639</v>
      </c>
      <c r="S56" s="23">
        <v>49004</v>
      </c>
      <c r="T56" s="23">
        <v>49369</v>
      </c>
    </row>
    <row r="57" spans="1:20" x14ac:dyDescent="0.35">
      <c r="A57" t="s">
        <v>36</v>
      </c>
      <c r="E57" s="25">
        <v>18487</v>
      </c>
      <c r="F57" s="25">
        <v>19294</v>
      </c>
      <c r="G57" s="25">
        <v>22698</v>
      </c>
      <c r="H57" s="25">
        <v>25424</v>
      </c>
      <c r="I57" s="25">
        <v>30193</v>
      </c>
      <c r="J57" s="29">
        <v>31158</v>
      </c>
    </row>
    <row r="58" spans="1:20" x14ac:dyDescent="0.35">
      <c r="A58" t="s">
        <v>37</v>
      </c>
      <c r="E58" s="22">
        <v>2852</v>
      </c>
      <c r="F58" s="22">
        <v>2645</v>
      </c>
      <c r="G58" s="22">
        <v>4134</v>
      </c>
      <c r="H58" s="22">
        <v>3865</v>
      </c>
      <c r="I58" s="22">
        <v>3956</v>
      </c>
      <c r="J58" s="30">
        <v>4164</v>
      </c>
      <c r="K58" s="22"/>
    </row>
    <row r="59" spans="1:20" ht="15" thickBot="1" x14ac:dyDescent="0.4">
      <c r="A59" s="3" t="s">
        <v>38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5" thickTop="1" x14ac:dyDescent="0.35">
      <c r="A60" s="18" t="s">
        <v>39</v>
      </c>
      <c r="E60" s="8">
        <f>E57-E58</f>
        <v>15635</v>
      </c>
      <c r="F60" s="8">
        <f t="shared" ref="F60:J60" si="19">F57-F58</f>
        <v>16649</v>
      </c>
      <c r="G60" s="8">
        <f t="shared" si="19"/>
        <v>18564</v>
      </c>
      <c r="H60" s="8">
        <f t="shared" si="19"/>
        <v>21559</v>
      </c>
      <c r="I60" s="8">
        <f t="shared" si="19"/>
        <v>26237</v>
      </c>
      <c r="J60" s="31">
        <f t="shared" si="19"/>
        <v>26994</v>
      </c>
      <c r="K60" s="37">
        <f t="shared" ref="K60:T60" si="20">F13*$J$64</f>
        <v>27676.396010580062</v>
      </c>
      <c r="L60" s="37">
        <f t="shared" si="20"/>
        <v>28506.687890897465</v>
      </c>
      <c r="M60" s="37">
        <f t="shared" si="20"/>
        <v>29932.022285442341</v>
      </c>
      <c r="N60" s="37">
        <f t="shared" si="20"/>
        <v>32326.584068277731</v>
      </c>
      <c r="O60" s="37">
        <f t="shared" si="20"/>
        <v>35559.242475105508</v>
      </c>
      <c r="P60" s="37">
        <f t="shared" si="20"/>
        <v>39470.759147367113</v>
      </c>
      <c r="Q60" s="37">
        <f t="shared" si="20"/>
        <v>43812.542653577497</v>
      </c>
      <c r="R60" s="37">
        <f t="shared" si="20"/>
        <v>48631.92234547103</v>
      </c>
      <c r="S60" s="37">
        <f t="shared" si="20"/>
        <v>53981.43380347285</v>
      </c>
      <c r="T60" s="37">
        <f t="shared" si="20"/>
        <v>59919.391521854872</v>
      </c>
    </row>
    <row r="61" spans="1:20" ht="15" thickBot="1" x14ac:dyDescent="0.4">
      <c r="A61" s="3" t="s">
        <v>40</v>
      </c>
      <c r="B61" s="3"/>
      <c r="C61" s="3"/>
      <c r="D61" s="3"/>
      <c r="E61" s="3"/>
      <c r="F61" s="27">
        <f>F60-E60</f>
        <v>1014</v>
      </c>
      <c r="G61" s="27">
        <f t="shared" ref="G61:J61" si="21">G60-F60</f>
        <v>1915</v>
      </c>
      <c r="H61" s="27">
        <f t="shared" si="21"/>
        <v>2995</v>
      </c>
      <c r="I61" s="27">
        <f t="shared" si="21"/>
        <v>4678</v>
      </c>
      <c r="J61" s="27">
        <f t="shared" si="21"/>
        <v>757</v>
      </c>
      <c r="K61" s="27">
        <f t="shared" ref="K61" si="22">K60-J60</f>
        <v>682.39601058006156</v>
      </c>
      <c r="L61" s="27">
        <f t="shared" ref="L61" si="23">L60-K60</f>
        <v>830.29188031740341</v>
      </c>
      <c r="M61" s="27">
        <f t="shared" ref="M61" si="24">M60-L60</f>
        <v>1425.334394544876</v>
      </c>
      <c r="N61" s="27">
        <f t="shared" ref="N61" si="25">N60-M60</f>
        <v>2394.5617828353897</v>
      </c>
      <c r="O61" s="27">
        <f t="shared" ref="O61" si="26">O60-N60</f>
        <v>3232.6584068277771</v>
      </c>
      <c r="P61" s="27">
        <f t="shared" ref="P61" si="27">P60-O60</f>
        <v>3911.516672261605</v>
      </c>
      <c r="Q61" s="27">
        <f t="shared" ref="Q61" si="28">Q60-P60</f>
        <v>4341.7835062103841</v>
      </c>
      <c r="R61" s="27">
        <f t="shared" ref="R61" si="29">R60-Q60</f>
        <v>4819.3796918935332</v>
      </c>
      <c r="S61" s="27">
        <f t="shared" ref="S61" si="30">S60-R60</f>
        <v>5349.5114580018198</v>
      </c>
      <c r="T61" s="27">
        <f t="shared" ref="T61" si="31">T60-S60</f>
        <v>5937.957718382022</v>
      </c>
    </row>
    <row r="62" spans="1:20" ht="15" thickTop="1" x14ac:dyDescent="0.35">
      <c r="A62" t="s">
        <v>41</v>
      </c>
      <c r="E62" s="28">
        <f>E60/E65</f>
        <v>0.17220869910013106</v>
      </c>
      <c r="F62" s="28">
        <f t="shared" ref="F62:I62" si="32">F60/F65</f>
        <v>0.16570785890596385</v>
      </c>
      <c r="G62" s="28">
        <f t="shared" si="32"/>
        <v>0.15261301699262583</v>
      </c>
      <c r="H62" s="28">
        <f t="shared" si="32"/>
        <v>0.14689269386169915</v>
      </c>
      <c r="I62" s="28">
        <f t="shared" si="32"/>
        <v>0.17073599271165485</v>
      </c>
      <c r="J62" s="32">
        <f>J60/J65</f>
        <v>0.16561752254739553</v>
      </c>
    </row>
    <row r="64" spans="1:20" x14ac:dyDescent="0.35">
      <c r="J64" s="33">
        <f>MEDIAN(E62:J62)</f>
        <v>0.16566269072667969</v>
      </c>
    </row>
    <row r="65" spans="5:17" x14ac:dyDescent="0.35">
      <c r="E65" s="25">
        <v>90791</v>
      </c>
      <c r="F65" s="25">
        <v>100472</v>
      </c>
      <c r="G65" s="25">
        <v>121641</v>
      </c>
      <c r="H65" s="25">
        <v>146767</v>
      </c>
      <c r="I65" s="25">
        <v>153670</v>
      </c>
      <c r="J65" s="25">
        <v>162990</v>
      </c>
    </row>
    <row r="67" spans="5:17" x14ac:dyDescent="0.35"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Ali</dc:creator>
  <cp:lastModifiedBy>Zeeshan Ali</cp:lastModifiedBy>
  <dcterms:created xsi:type="dcterms:W3CDTF">2025-12-05T16:26:17Z</dcterms:created>
  <dcterms:modified xsi:type="dcterms:W3CDTF">2025-12-07T14:51:16Z</dcterms:modified>
</cp:coreProperties>
</file>